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ro\Desktop\progra-inf130.github.io\public\excel-files\"/>
    </mc:Choice>
  </mc:AlternateContent>
  <xr:revisionPtr revIDLastSave="0" documentId="13_ncr:1_{C22845F2-0914-402A-9581-557A9FBAC002}" xr6:coauthVersionLast="47" xr6:coauthVersionMax="47" xr10:uidLastSave="{00000000-0000-0000-0000-000000000000}"/>
  <bookViews>
    <workbookView xWindow="-108" yWindow="-108" windowWidth="23256" windowHeight="12576" xr2:uid="{E0D22FE0-79A5-4168-A297-BA152F93176C}"/>
  </bookViews>
  <sheets>
    <sheet name="Ingreso" sheetId="2" r:id="rId1"/>
    <sheet name="Registros" sheetId="3" r:id="rId2"/>
    <sheet name="Dato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4" l="1"/>
  <c r="F7" i="2" a="1"/>
  <c r="F7" i="2" s="1"/>
  <c r="C11" i="2" s="1"/>
  <c r="C1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<sst xmlns="http://schemas.openxmlformats.org/spreadsheetml/2006/main" count="54" uniqueCount="42">
  <si>
    <t>Fecha</t>
  </si>
  <si>
    <t>Vendedor</t>
  </si>
  <si>
    <t>Producto</t>
  </si>
  <si>
    <t>Valor Unitario</t>
  </si>
  <si>
    <t>Cantidad</t>
  </si>
  <si>
    <t>Valor Total</t>
  </si>
  <si>
    <t>Valor</t>
  </si>
  <si>
    <t>Atún</t>
  </si>
  <si>
    <t>Fideos</t>
  </si>
  <si>
    <t>Arroz</t>
  </si>
  <si>
    <t>Harina</t>
  </si>
  <si>
    <t>Palmitos</t>
  </si>
  <si>
    <t>Jurel</t>
  </si>
  <si>
    <t>Sal</t>
  </si>
  <si>
    <t>Ketchup</t>
  </si>
  <si>
    <t>Mayonesa</t>
  </si>
  <si>
    <t>Aceite</t>
  </si>
  <si>
    <t>Arvejas</t>
  </si>
  <si>
    <t>Porotos</t>
  </si>
  <si>
    <t>Garbanzos</t>
  </si>
  <si>
    <t>Arriagada</t>
  </si>
  <si>
    <t>Fuentes</t>
  </si>
  <si>
    <t>Missana</t>
  </si>
  <si>
    <t>Hebel</t>
  </si>
  <si>
    <t>Salas</t>
  </si>
  <si>
    <t>Zalaquett</t>
  </si>
  <si>
    <t>Arce</t>
  </si>
  <si>
    <t>Rodríguez</t>
  </si>
  <si>
    <t>Andrade</t>
  </si>
  <si>
    <t>Valenzuela</t>
  </si>
  <si>
    <t>Quezada</t>
  </si>
  <si>
    <t>Vivar</t>
  </si>
  <si>
    <t>Total</t>
  </si>
  <si>
    <t>Comprobante de Pago</t>
  </si>
  <si>
    <t>Seleccionado</t>
  </si>
  <si>
    <t>Descuentos</t>
  </si>
  <si>
    <t>Adulto Mayor</t>
  </si>
  <si>
    <t>Cliente Frecuente</t>
  </si>
  <si>
    <t>Comprobante</t>
  </si>
  <si>
    <t>Cupón</t>
  </si>
  <si>
    <t>Descuento 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</si>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</sst>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0" xfId="0" applyFill="1" applyAlignment="1">
      <alignment horizontal="right"/>
    </xf>
    <xf numFmtId="0" fontId="0" fillId="0" borderId="0" xfId="0" applyAlignment="1">
      <alignment horizontal="center"/>
    </xf>
    <xf numFmtId="14" fontId="0" fillId="2" borderId="5" xfId="0" applyNumberFormat="1" applyFill="1" applyBorder="1"/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Datos!$I$3" lockText="1"/>
</file>

<file path=xl/ctrlProps/ctrlProp3.xml><?xml version="1.0" encoding="utf-8"?>
<formControlPr xmlns="http://schemas.microsoft.com/office/spreadsheetml/2009/9/main" objectType="Spin" dx="26" fmlaLink="$C$9" max="100" min="1" page="10"/>
</file>

<file path=xl/ctrlProps/ctrlProp4.xml><?xml version="1.0" encoding="utf-8"?>
<formControlPr xmlns="http://schemas.microsoft.com/office/spreadsheetml/2009/9/main" objectType="Drop" dropStyle="combo" dx="26" fmlaLink="Datos!$D$3" fmlaRange="Datos!$B$3:$B$15" sel="0" val="0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Drop" dropStyle="combo" dx="26" fmlaLink="Datos!$G$3" fmlaRange="Datos!$F$3:$F$14" sel="0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fmlaLink="Datos!$L$3" lockText="1"/>
</file>

<file path=xl/ctrlProps/ctrlProp10.xml><?xml version="1.0" encoding="utf-8"?>
<formControlPr xmlns="http://schemas.microsoft.com/office/spreadsheetml/2009/9/main" objectType="CheckBox" fmlaLink="Datos!$L$4" lockText="1"/>
</file>

<file path=xl/ctrlProps/ctrlProp11.xml><?xml version="1.0" encoding="utf-8"?>
<formControlPr xmlns="http://schemas.microsoft.com/office/spreadsheetml/2009/9/main" objectType="CheckBox" fmlaLink="Datos!$L$5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60960</xdr:rowOff>
        </xdr:from>
        <xdr:to>
          <xdr:col>5</xdr:col>
          <xdr:colOff>419100</xdr:colOff>
          <xdr:row>19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22860</xdr:rowOff>
        </xdr:from>
        <xdr:to>
          <xdr:col>4</xdr:col>
          <xdr:colOff>76200</xdr:colOff>
          <xdr:row>13</xdr:row>
          <xdr:rowOff>99060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129540</xdr:colOff>
          <xdr:row>7</xdr:row>
          <xdr:rowOff>167640</xdr:rowOff>
        </xdr:from>
        <xdr:to>
          <xdr:col>4</xdr:col>
          <xdr:colOff>91440</xdr:colOff>
          <xdr:row>9</xdr:row>
          <xdr:rowOff>15240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13</xdr:row>
          <xdr:rowOff>83820</xdr:rowOff>
        </xdr:from>
        <xdr:to>
          <xdr:col>4</xdr:col>
          <xdr:colOff>76200</xdr:colOff>
          <xdr:row>14</xdr:row>
          <xdr:rowOff>160020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12</xdr:row>
          <xdr:rowOff>7620</xdr:rowOff>
        </xdr:from>
        <xdr:to>
          <xdr:col>4</xdr:col>
          <xdr:colOff>426720</xdr:colOff>
          <xdr:row>15</xdr:row>
          <xdr:rowOff>7620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12</xdr:row>
          <xdr:rowOff>7620</xdr:rowOff>
        </xdr:from>
        <xdr:to>
          <xdr:col>8</xdr:col>
          <xdr:colOff>7620</xdr:colOff>
          <xdr:row>15</xdr:row>
          <xdr:rowOff>99060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22860</xdr:rowOff>
        </xdr:from>
        <xdr:to>
          <xdr:col>7</xdr:col>
          <xdr:colOff>320040</xdr:colOff>
          <xdr:row>13</xdr:row>
          <xdr:rowOff>53340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Cliente Frecuente 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13</xdr:row>
          <xdr:rowOff>38100</xdr:rowOff>
        </xdr:from>
        <xdr:to>
          <xdr:col>7</xdr:col>
          <xdr:colOff>320040</xdr:colOff>
          <xdr:row>14</xdr:row>
          <xdr:rowOff>68580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Adulto Mayor 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53340</xdr:rowOff>
        </xdr:from>
        <xdr:to>
          <xdr:col>7</xdr:col>
          <xdr:colOff>320040</xdr:colOff>
          <xdr:row>15</xdr:row>
          <xdr:rowOff>83820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Cupón 7%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17</xdr:row>
          <xdr:rowOff>60960</xdr:rowOff>
        </xdr:from>
        <xdr:to>
          <xdr:col>7</xdr:col>
          <xdr:colOff>449580</xdr:colOff>
          <xdr:row>19</xdr:row>
          <xdr:rowOff>15240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7620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07EC-7358-4C4D-BA69-B1F9AD500A9E}">
  <sheetPr codeName="Hoja1"/>
  <dimension ref="B1:I23"/>
  <sheetViews>
    <sheetView tabSelected="1" workbookViewId="0"/>
  </sheetViews>
  <sheetFormatPr baseColWidth="10" defaultRowHeight="14.4" x14ac:dyDescent="0.3"/>
  <sheetData>
    <row r="1" spans="2:9" ht="15" thickBot="1" x14ac:dyDescent="0.35"/>
    <row r="2" spans="2:9" x14ac:dyDescent="0.3">
      <c r="B2" s="2"/>
      <c r="C2" s="3"/>
      <c r="D2" s="3"/>
      <c r="E2" s="3"/>
      <c r="F2" s="3"/>
      <c r="G2" s="3"/>
      <c r="H2" s="3"/>
      <c r="I2" s="4"/>
    </row>
    <row r="3" spans="2:9" x14ac:dyDescent="0.3">
      <c r="B3" s="5" t="s">
        <v>0</v>
      </c>
      <c r="C3" s="17"/>
      <c r="D3" s="18"/>
      <c r="E3" s="6"/>
      <c r="F3" s="6"/>
      <c r="G3" s="6"/>
      <c r="H3" s="6"/>
      <c r="I3" s="7"/>
    </row>
    <row r="4" spans="2:9" x14ac:dyDescent="0.3">
      <c r="B4" s="14"/>
      <c r="C4" s="6"/>
      <c r="D4" s="6"/>
      <c r="E4" s="6"/>
      <c r="F4" s="6"/>
      <c r="G4" s="6"/>
      <c r="H4" s="6"/>
      <c r="I4" s="7"/>
    </row>
    <row r="5" spans="2:9" x14ac:dyDescent="0.3">
      <c r="B5" s="5" t="s">
        <v>1</v>
      </c>
      <c r="C5" s="6"/>
      <c r="D5" s="6"/>
      <c r="E5" s="6"/>
      <c r="F5" s="6"/>
      <c r="G5" s="6"/>
      <c r="H5" s="6"/>
      <c r="I5" s="7"/>
    </row>
    <row r="6" spans="2:9" x14ac:dyDescent="0.3">
      <c r="B6" s="5"/>
      <c r="C6" s="6"/>
      <c r="D6" s="6"/>
      <c r="E6" s="6"/>
      <c r="F6" s="6"/>
      <c r="G6" s="6"/>
      <c r="H6" s="6"/>
      <c r="I6" s="7"/>
    </row>
    <row r="7" spans="2:9" x14ac:dyDescent="0.3">
      <c r="B7" s="5" t="s">
        <v>2</v>
      </c>
      <c r="C7" s="6"/>
      <c r="D7" s="6"/>
      <c r="E7" s="12" t="s">
        <v>6</v>
      </c>
      <c r="F7" s="11" t="str" cm="1">
        <f t="array" ref="F7">IFERROR(INDEX(Datos!C3:C15,Datos!D3),"")</f>
        <v/>
      </c>
      <c r="G7" s="6"/>
      <c r="H7" s="6"/>
      <c r="I7" s="7"/>
    </row>
    <row r="8" spans="2:9" x14ac:dyDescent="0.3">
      <c r="B8" s="5"/>
      <c r="C8" s="6"/>
      <c r="D8" s="6"/>
      <c r="E8" s="6"/>
      <c r="F8" s="6"/>
      <c r="G8" s="6"/>
      <c r="H8" s="6"/>
      <c r="I8" s="7"/>
    </row>
    <row r="9" spans="2:9" x14ac:dyDescent="0.3">
      <c r="B9" s="5" t="s">
        <v>4</v>
      </c>
      <c r="C9" s="11">
        <v>1</v>
      </c>
      <c r="D9" s="6"/>
      <c r="E9" s="6"/>
      <c r="F9" s="6"/>
      <c r="G9" s="6"/>
      <c r="H9" s="6"/>
      <c r="I9" s="7"/>
    </row>
    <row r="10" spans="2:9" x14ac:dyDescent="0.3">
      <c r="B10" s="5"/>
      <c r="C10" s="6"/>
      <c r="D10" s="6"/>
      <c r="E10" s="6"/>
      <c r="F10" s="6"/>
      <c r="G10" s="6"/>
      <c r="H10" s="6"/>
      <c r="I10" s="7"/>
    </row>
    <row r="11" spans="2:9" x14ac:dyDescent="0.3">
      <c r="B11" s="5" t="s">
        <v>41</v>
      </c>
      <c r="C11" s="11" t="str">
        <f>IFERROR((F7*C9),"")</f>
        <v/>
      </c>
      <c r="D11" s="6"/>
      <c r="E11" s="6"/>
      <c r="F11" s="6"/>
      <c r="G11" s="6"/>
      <c r="H11" s="6"/>
      <c r="I11" s="7"/>
    </row>
    <row r="12" spans="2:9" x14ac:dyDescent="0.3">
      <c r="B12" s="5"/>
      <c r="C12" s="6"/>
      <c r="D12" s="6"/>
      <c r="E12" s="6"/>
      <c r="F12" s="6"/>
      <c r="G12" s="6"/>
      <c r="H12" s="6"/>
      <c r="I12" s="7"/>
    </row>
    <row r="13" spans="2:9" x14ac:dyDescent="0.3">
      <c r="B13" s="5" t="s">
        <v>33</v>
      </c>
      <c r="C13" s="6"/>
      <c r="D13" s="6"/>
      <c r="E13" s="6"/>
      <c r="F13" s="6" t="s">
        <v>35</v>
      </c>
      <c r="G13" s="6"/>
      <c r="H13" s="6"/>
      <c r="I13" s="7"/>
    </row>
    <row r="14" spans="2:9" x14ac:dyDescent="0.3">
      <c r="B14" s="5"/>
      <c r="C14" s="6"/>
      <c r="D14" s="6"/>
      <c r="E14" s="6"/>
      <c r="F14" s="6"/>
      <c r="G14" s="6"/>
      <c r="H14" s="6"/>
      <c r="I14" s="7"/>
    </row>
    <row r="15" spans="2:9" x14ac:dyDescent="0.3">
      <c r="B15" s="5"/>
      <c r="C15" s="6"/>
      <c r="D15" s="6"/>
      <c r="E15" s="6"/>
      <c r="F15" s="6"/>
      <c r="G15" s="6"/>
      <c r="H15" s="6"/>
      <c r="I15" s="7"/>
    </row>
    <row r="16" spans="2:9" x14ac:dyDescent="0.3">
      <c r="B16" s="5"/>
      <c r="C16" s="6"/>
      <c r="D16" s="6"/>
      <c r="E16" s="6"/>
      <c r="F16" s="6"/>
      <c r="G16" s="6"/>
      <c r="H16" s="6"/>
      <c r="I16" s="7"/>
    </row>
    <row r="17" spans="2:9" x14ac:dyDescent="0.3">
      <c r="B17" s="5" t="s">
        <v>32</v>
      </c>
      <c r="C17" s="11" t="str">
        <f>IFERROR((F7*C9)*(100-Datos!L7)%,"")</f>
        <v/>
      </c>
      <c r="D17" s="6"/>
      <c r="E17" s="6"/>
      <c r="F17" s="6"/>
      <c r="G17" s="6"/>
      <c r="H17" s="6"/>
      <c r="I17" s="7"/>
    </row>
    <row r="18" spans="2:9" x14ac:dyDescent="0.3">
      <c r="B18" s="5"/>
      <c r="C18" s="6"/>
      <c r="D18" s="6"/>
      <c r="E18" s="6"/>
      <c r="F18" s="6"/>
      <c r="G18" s="6"/>
      <c r="H18" s="6"/>
      <c r="I18" s="7"/>
    </row>
    <row r="19" spans="2:9" x14ac:dyDescent="0.3">
      <c r="B19" s="5"/>
      <c r="C19" s="6"/>
      <c r="D19" s="6"/>
      <c r="E19" s="6"/>
      <c r="F19" s="6"/>
      <c r="G19" s="6"/>
      <c r="H19" s="6"/>
      <c r="I19" s="7"/>
    </row>
    <row r="20" spans="2:9" ht="15" thickBot="1" x14ac:dyDescent="0.35">
      <c r="B20" s="8"/>
      <c r="C20" s="9"/>
      <c r="D20" s="9"/>
      <c r="E20" s="9"/>
      <c r="F20" s="9"/>
      <c r="G20" s="9"/>
      <c r="H20" s="9"/>
      <c r="I20" s="10"/>
    </row>
    <row r="23" spans="2:9" x14ac:dyDescent="0.3">
      <c r="E23" s="13"/>
    </row>
  </sheetData>
  <mergeCells count="1">
    <mergeCell ref="C3:D3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gresar">
                <anchor moveWithCells="1" sizeWithCells="1">
                  <from>
                    <xdr:col>4</xdr:col>
                    <xdr:colOff>0</xdr:colOff>
                    <xdr:row>17</xdr:row>
                    <xdr:rowOff>60960</xdr:rowOff>
                  </from>
                  <to>
                    <xdr:col>5</xdr:col>
                    <xdr:colOff>419100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3</xdr:col>
                    <xdr:colOff>99060</xdr:colOff>
                    <xdr:row>12</xdr:row>
                    <xdr:rowOff>22860</xdr:rowOff>
                  </from>
                  <to>
                    <xdr:col>4</xdr:col>
                    <xdr:colOff>76200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Spinner 4">
              <controlPr defaultSize="0" autoPict="0">
                <anchor moveWithCells="1" sizeWithCells="1">
                  <from>
                    <xdr:col>3</xdr:col>
                    <xdr:colOff>129540</xdr:colOff>
                    <xdr:row>7</xdr:row>
                    <xdr:rowOff>167640</xdr:rowOff>
                  </from>
                  <to>
                    <xdr:col>4</xdr:col>
                    <xdr:colOff>91440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Drop Down 5">
              <controlPr defaultSize="0" autoLine="0" autoPict="0">
                <anchor moveWithCells="1">
                  <from>
                    <xdr:col>2</xdr:col>
                    <xdr:colOff>7620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Option Button 7">
              <controlPr defaultSize="0" autoFill="0" autoLine="0" autoPict="0">
                <anchor moveWithCells="1">
                  <from>
                    <xdr:col>3</xdr:col>
                    <xdr:colOff>99060</xdr:colOff>
                    <xdr:row>13</xdr:row>
                    <xdr:rowOff>83820</xdr:rowOff>
                  </from>
                  <to>
                    <xdr:col>4</xdr:col>
                    <xdr:colOff>76200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Drop Down 8">
              <controlPr defaultSize="0" autoLine="0" autoPict="0">
                <anchor moveWithCells="1">
                  <from>
                    <xdr:col>2</xdr:col>
                    <xdr:colOff>7620</xdr:colOff>
                    <xdr:row>4</xdr:row>
                    <xdr:rowOff>7620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Group Box 9">
              <controlPr defaultSize="0" autoFill="0" autoPict="0">
                <anchor moveWithCells="1">
                  <from>
                    <xdr:col>3</xdr:col>
                    <xdr:colOff>15240</xdr:colOff>
                    <xdr:row>12</xdr:row>
                    <xdr:rowOff>7620</xdr:rowOff>
                  </from>
                  <to>
                    <xdr:col>4</xdr:col>
                    <xdr:colOff>426720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Group Box 11">
              <controlPr defaultSize="0" autoFill="0" autoPict="0">
                <anchor moveWithCells="1">
                  <from>
                    <xdr:col>6</xdr:col>
                    <xdr:colOff>7620</xdr:colOff>
                    <xdr:row>12</xdr:row>
                    <xdr:rowOff>7620</xdr:rowOff>
                  </from>
                  <to>
                    <xdr:col>8</xdr:col>
                    <xdr:colOff>7620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6</xdr:col>
                    <xdr:colOff>76200</xdr:colOff>
                    <xdr:row>12</xdr:row>
                    <xdr:rowOff>22860</xdr:rowOff>
                  </from>
                  <to>
                    <xdr:col>7</xdr:col>
                    <xdr:colOff>320040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6</xdr:col>
                    <xdr:colOff>76200</xdr:colOff>
                    <xdr:row>13</xdr:row>
                    <xdr:rowOff>38100</xdr:rowOff>
                  </from>
                  <to>
                    <xdr:col>7</xdr:col>
                    <xdr:colOff>320040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Check Box 14">
              <controlPr defaultSize="0" autoFill="0" autoLine="0" autoPict="0">
                <anchor moveWithCells="1">
                  <from>
                    <xdr:col>6</xdr:col>
                    <xdr:colOff>76200</xdr:colOff>
                    <xdr:row>14</xdr:row>
                    <xdr:rowOff>53340</xdr:rowOff>
                  </from>
                  <to>
                    <xdr:col>7</xdr:col>
                    <xdr:colOff>320040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Button 16">
              <controlPr defaultSize="0" print="0" autoFill="0" autoPict="0" macro="[0]!Limpiar">
                <anchor moveWithCells="1" sizeWithCells="1">
                  <from>
                    <xdr:col>6</xdr:col>
                    <xdr:colOff>30480</xdr:colOff>
                    <xdr:row>17</xdr:row>
                    <xdr:rowOff>60960</xdr:rowOff>
                  </from>
                  <to>
                    <xdr:col>7</xdr:col>
                    <xdr:colOff>449580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Button 17">
              <controlPr defaultSize="0" print="0" autoFill="0" autoPict="0" macro="[0]!Hoy">
                <anchor moveWithCells="1" sizeWithCells="1">
                  <from>
                    <xdr:col>4</xdr:col>
                    <xdr:colOff>304800</xdr:colOff>
                    <xdr:row>2</xdr:row>
                    <xdr:rowOff>7620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5CD8-2B4C-4DF9-83F2-B3AFCDFB8090}">
  <sheetPr codeName="Hoja2"/>
  <dimension ref="B1:J12"/>
  <sheetViews>
    <sheetView workbookViewId="0"/>
  </sheetViews>
  <sheetFormatPr baseColWidth="10" defaultRowHeight="14.4" x14ac:dyDescent="0.3"/>
  <cols>
    <col min="2" max="2" width="10.33203125" bestFit="1" customWidth="1"/>
    <col min="3" max="3" width="9.33203125" bestFit="1" customWidth="1"/>
    <col min="4" max="4" width="20" bestFit="1" customWidth="1"/>
    <col min="5" max="5" width="8.77734375" bestFit="1" customWidth="1"/>
    <col min="6" max="6" width="12.6640625" bestFit="1" customWidth="1"/>
    <col min="7" max="7" width="8.5546875" bestFit="1" customWidth="1"/>
    <col min="8" max="8" width="8.88671875" bestFit="1" customWidth="1"/>
    <col min="9" max="9" width="33.33203125" bestFit="1" customWidth="1"/>
    <col min="10" max="10" width="10.109375" bestFit="1" customWidth="1"/>
  </cols>
  <sheetData>
    <row r="1" spans="2:10" ht="15" thickBot="1" x14ac:dyDescent="0.35"/>
    <row r="2" spans="2:10" ht="15" thickBot="1" x14ac:dyDescent="0.35">
      <c r="B2" s="16" t="s">
        <v>0</v>
      </c>
      <c r="C2" s="16" t="s">
        <v>1</v>
      </c>
      <c r="D2" s="16" t="s">
        <v>33</v>
      </c>
      <c r="E2" s="16" t="s">
        <v>2</v>
      </c>
      <c r="F2" s="16" t="s">
        <v>3</v>
      </c>
      <c r="G2" s="16" t="s">
        <v>4</v>
      </c>
      <c r="H2" s="16" t="s">
        <v>41</v>
      </c>
      <c r="I2" s="16" t="s">
        <v>35</v>
      </c>
      <c r="J2" s="16" t="s">
        <v>5</v>
      </c>
    </row>
    <row r="3" spans="2:10" x14ac:dyDescent="0.3">
      <c r="B3" s="15"/>
    </row>
    <row r="4" spans="2:10" x14ac:dyDescent="0.3">
      <c r="B4" s="15"/>
    </row>
    <row r="5" spans="2:10" x14ac:dyDescent="0.3">
      <c r="B5" s="15"/>
    </row>
    <row r="6" spans="2:10" x14ac:dyDescent="0.3">
      <c r="B6" s="15"/>
    </row>
    <row r="7" spans="2:10" x14ac:dyDescent="0.3">
      <c r="B7" s="15"/>
    </row>
    <row r="8" spans="2:10" x14ac:dyDescent="0.3">
      <c r="B8" s="15"/>
    </row>
    <row r="9" spans="2:10" x14ac:dyDescent="0.3">
      <c r="B9" s="15"/>
    </row>
    <row r="10" spans="2:10" x14ac:dyDescent="0.3">
      <c r="B10" s="15"/>
    </row>
    <row r="11" spans="2:10" x14ac:dyDescent="0.3">
      <c r="B11" s="15"/>
    </row>
    <row r="12" spans="2:10" x14ac:dyDescent="0.3">
      <c r="B12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A45FD-FB60-4B00-960C-B50DFE88DF8F}">
  <sheetPr codeName="Hoja3"/>
  <dimension ref="B1:L15"/>
  <sheetViews>
    <sheetView workbookViewId="0"/>
  </sheetViews>
  <sheetFormatPr baseColWidth="10" defaultRowHeight="14.4" x14ac:dyDescent="0.3"/>
  <cols>
    <col min="9" max="9" width="12.21875" bestFit="1" customWidth="1"/>
    <col min="11" max="11" width="15.21875" bestFit="1" customWidth="1"/>
  </cols>
  <sheetData>
    <row r="1" spans="2:12" ht="15" thickBot="1" x14ac:dyDescent="0.35"/>
    <row r="2" spans="2:12" ht="15" thickBot="1" x14ac:dyDescent="0.35">
      <c r="B2" s="1" t="s">
        <v>2</v>
      </c>
      <c r="C2" s="1" t="s">
        <v>6</v>
      </c>
      <c r="D2" s="1" t="s">
        <v>34</v>
      </c>
      <c r="F2" s="1" t="s">
        <v>1</v>
      </c>
      <c r="G2" s="1" t="s">
        <v>34</v>
      </c>
      <c r="I2" s="1" t="s">
        <v>38</v>
      </c>
      <c r="K2" s="1" t="s">
        <v>35</v>
      </c>
    </row>
    <row r="3" spans="2:12" x14ac:dyDescent="0.3">
      <c r="B3" t="s">
        <v>7</v>
      </c>
      <c r="C3">
        <v>1240</v>
      </c>
      <c r="D3">
        <v>-1</v>
      </c>
      <c r="F3" t="s">
        <v>20</v>
      </c>
      <c r="G3">
        <v>0</v>
      </c>
      <c r="I3">
        <v>0</v>
      </c>
      <c r="K3" t="s">
        <v>37</v>
      </c>
      <c r="L3" t="b">
        <v>0</v>
      </c>
    </row>
    <row r="4" spans="2:12" x14ac:dyDescent="0.3">
      <c r="B4" t="s">
        <v>8</v>
      </c>
      <c r="C4">
        <v>690</v>
      </c>
      <c r="F4" t="s">
        <v>21</v>
      </c>
      <c r="K4" t="s">
        <v>36</v>
      </c>
      <c r="L4" t="b">
        <v>0</v>
      </c>
    </row>
    <row r="5" spans="2:12" x14ac:dyDescent="0.3">
      <c r="B5" t="s">
        <v>9</v>
      </c>
      <c r="C5">
        <v>910</v>
      </c>
      <c r="F5" t="s">
        <v>22</v>
      </c>
      <c r="K5" t="s">
        <v>39</v>
      </c>
      <c r="L5" t="b">
        <v>0</v>
      </c>
    </row>
    <row r="6" spans="2:12" x14ac:dyDescent="0.3">
      <c r="B6" t="s">
        <v>10</v>
      </c>
      <c r="C6">
        <v>1000</v>
      </c>
      <c r="F6" t="s">
        <v>23</v>
      </c>
    </row>
    <row r="7" spans="2:12" x14ac:dyDescent="0.3">
      <c r="B7" t="s">
        <v>11</v>
      </c>
      <c r="C7">
        <v>2600</v>
      </c>
      <c r="F7" t="s">
        <v>24</v>
      </c>
      <c r="K7" t="s">
        <v>40</v>
      </c>
      <c r="L7">
        <f>5*L3+10*L4+7*L5</f>
        <v>0</v>
      </c>
    </row>
    <row r="8" spans="2:12" x14ac:dyDescent="0.3">
      <c r="B8" t="s">
        <v>12</v>
      </c>
      <c r="C8">
        <v>1390</v>
      </c>
      <c r="F8" t="s">
        <v>25</v>
      </c>
    </row>
    <row r="9" spans="2:12" x14ac:dyDescent="0.3">
      <c r="B9" t="s">
        <v>13</v>
      </c>
      <c r="C9">
        <v>390</v>
      </c>
      <c r="F9" t="s">
        <v>26</v>
      </c>
    </row>
    <row r="10" spans="2:12" x14ac:dyDescent="0.3">
      <c r="B10" t="s">
        <v>14</v>
      </c>
      <c r="C10">
        <v>2590</v>
      </c>
      <c r="F10" t="s">
        <v>27</v>
      </c>
    </row>
    <row r="11" spans="2:12" x14ac:dyDescent="0.3">
      <c r="B11" t="s">
        <v>15</v>
      </c>
      <c r="C11">
        <v>2750</v>
      </c>
      <c r="F11" t="s">
        <v>28</v>
      </c>
    </row>
    <row r="12" spans="2:12" x14ac:dyDescent="0.3">
      <c r="B12" t="s">
        <v>16</v>
      </c>
      <c r="C12">
        <v>2370</v>
      </c>
      <c r="F12" t="s">
        <v>29</v>
      </c>
    </row>
    <row r="13" spans="2:12" x14ac:dyDescent="0.3">
      <c r="B13" t="s">
        <v>19</v>
      </c>
      <c r="C13">
        <v>2100</v>
      </c>
      <c r="F13" t="s">
        <v>30</v>
      </c>
    </row>
    <row r="14" spans="2:12" x14ac:dyDescent="0.3">
      <c r="B14" t="s">
        <v>18</v>
      </c>
      <c r="C14">
        <v>2850</v>
      </c>
      <c r="F14" t="s">
        <v>31</v>
      </c>
    </row>
    <row r="15" spans="2:12" x14ac:dyDescent="0.3">
      <c r="B15" t="s">
        <v>17</v>
      </c>
      <c r="C15">
        <v>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Ingreso</vt:lpstr>
      <vt:lpstr>Registros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Arriagada</dc:creator>
  <cp:lastModifiedBy>Pedro Arriagada</cp:lastModifiedBy>
  <dcterms:created xsi:type="dcterms:W3CDTF">2022-11-10T19:20:01Z</dcterms:created>
  <dcterms:modified xsi:type="dcterms:W3CDTF">2022-12-06T20:45:03Z</dcterms:modified>
</cp:coreProperties>
</file>